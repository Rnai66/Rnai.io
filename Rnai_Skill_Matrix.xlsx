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 Matrix" sheetId="1" state="visible" r:id="rId3"/>
    <sheet name="Pricing" sheetId="2" state="visible" r:id="rId4"/>
    <sheet name="Roadmap" sheetId="3" state="visible" r:id="rId5"/>
    <sheet name="Financial" sheetId="4" state="visible" r:id="rId6"/>
    <sheet name="Risks" sheetId="5" state="visible" r:id="rId7"/>
    <sheet name="Quick Wi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<sst xmlns="http://schemas.openxmlformats.org/spreadsheetml/2006/main" count="413" uniqueCount="308">
  <si>
    <t xml:space="preserve">Rnai — AI Skill Catalog</t>
  </si>
  <si>
    <t xml:space="preserve">17 skills across 4 categories · 1 credit = $0.01 sell · costs are estimates Q2 2026</t>
  </si>
  <si>
    <t xml:space="preserve">Category</t>
  </si>
  <si>
    <t xml:space="preserve">Skill</t>
  </si>
  <si>
    <t xml:space="preserve">Status</t>
  </si>
  <si>
    <t xml:space="preserve">Endpoint</t>
  </si>
  <si>
    <t xml:space="preserve">Primary model</t>
  </si>
  <si>
    <t xml:space="preserve">Fallback model</t>
  </si>
  <si>
    <t xml:space="preserve">Unit</t>
  </si>
  <si>
    <t xml:space="preserve">Credits / unit</t>
  </si>
  <si>
    <t xml:space="preserve">Est. provider cost (USD/unit)</t>
  </si>
  <si>
    <t xml:space="preserve">Sell price (USD/unit)</t>
  </si>
  <si>
    <t xml:space="preserve">Margin %</t>
  </si>
  <si>
    <t xml:space="preserve">Image</t>
  </si>
  <si>
    <t xml:space="preserve">Generate</t>
  </si>
  <si>
    <t xml:space="preserve">✅ live</t>
  </si>
  <si>
    <t xml:space="preserve">/v1/image/generate</t>
  </si>
  <si>
    <t xml:space="preserve">FLUX.1-schnell (HF)</t>
  </si>
  <si>
    <t xml:space="preserve">SDXL-Lightning</t>
  </si>
  <si>
    <t xml:space="preserve">image</t>
  </si>
  <si>
    <t xml:space="preserve">Edit / Inpaint</t>
  </si>
  <si>
    <t xml:space="preserve">/v1/image/edit</t>
  </si>
  <si>
    <t xml:space="preserve">SDXL-1.0-inpainting</t>
  </si>
  <si>
    <t xml:space="preserve">FLUX.1-Fill (fal)</t>
  </si>
  <si>
    <t xml:space="preserve">Remove BG</t>
  </si>
  <si>
    <t xml:space="preserve">/v1/image/remove-bg</t>
  </si>
  <si>
    <t xml:space="preserve">RMBG-1.4</t>
  </si>
  <si>
    <t xml:space="preserve">BiRefNet</t>
  </si>
  <si>
    <t xml:space="preserve">Upscale 4×</t>
  </si>
  <si>
    <t xml:space="preserve">🆕 plan</t>
  </si>
  <si>
    <t xml:space="preserve">/v1/image/upscale</t>
  </si>
  <si>
    <t xml:space="preserve">Real-ESRGAN-x4</t>
  </si>
  <si>
    <t xml:space="preserve">clarity-upscaler</t>
  </si>
  <si>
    <t xml:space="preserve">Style transfer</t>
  </si>
  <si>
    <t xml:space="preserve">/v1/image/stylize</t>
  </si>
  <si>
    <t xml:space="preserve">IP-Adapter + SDXL</t>
  </si>
  <si>
    <t xml:space="preserve">Stable Cascade</t>
  </si>
  <si>
    <t xml:space="preserve">Text/LLM</t>
  </si>
  <si>
    <t xml:space="preserve">Chat completion</t>
  </si>
  <si>
    <t xml:space="preserve">/v1/text/chat</t>
  </si>
  <si>
    <t xml:space="preserve">Llama-3.1-70B (Together)</t>
  </si>
  <si>
    <t xml:space="preserve">Mixtral-8x7B (OR)</t>
  </si>
  <si>
    <t xml:space="preserve">1K tok out</t>
  </si>
  <si>
    <t xml:space="preserve">Summarize</t>
  </si>
  <si>
    <t xml:space="preserve">/v1/text/summarize</t>
  </si>
  <si>
    <t xml:space="preserve">Llama-3.1-8B</t>
  </si>
  <si>
    <t xml:space="preserve">DistilBart-CNN</t>
  </si>
  <si>
    <t xml:space="preserve">1K tok in</t>
  </si>
  <si>
    <t xml:space="preserve">Translate</t>
  </si>
  <si>
    <t xml:space="preserve">/v1/text/translate</t>
  </si>
  <si>
    <t xml:space="preserve">NLLB-200-3.3B</t>
  </si>
  <si>
    <t xml:space="preserve">Llama-3-8B (zero-shot)</t>
  </si>
  <si>
    <t xml:space="preserve">Embeddings</t>
  </si>
  <si>
    <t xml:space="preserve">/v1/text/embeddings</t>
  </si>
  <si>
    <t xml:space="preserve">nomic-embed-text-v1.5</t>
  </si>
  <si>
    <t xml:space="preserve">bge-m3</t>
  </si>
  <si>
    <t xml:space="preserve">1K tok</t>
  </si>
  <si>
    <t xml:space="preserve">Rerank</t>
  </si>
  <si>
    <t xml:space="preserve">/v1/text/rerank</t>
  </si>
  <si>
    <t xml:space="preserve">bge-reranker-v2-m3</t>
  </si>
  <si>
    <t xml:space="preserve">jina-reranker-v2</t>
  </si>
  <si>
    <t xml:space="preserve">request</t>
  </si>
  <si>
    <t xml:space="preserve">Audio</t>
  </si>
  <si>
    <t xml:space="preserve">Text-to-speech</t>
  </si>
  <si>
    <t xml:space="preserve">/v1/audio/tts</t>
  </si>
  <si>
    <t xml:space="preserve">XTTS-v2 (Coqui)</t>
  </si>
  <si>
    <t xml:space="preserve">parler-tts-mini</t>
  </si>
  <si>
    <t xml:space="preserve">100 chars</t>
  </si>
  <si>
    <t xml:space="preserve">Speech-to-text</t>
  </si>
  <si>
    <t xml:space="preserve">/v1/audio/transcribe</t>
  </si>
  <si>
    <t xml:space="preserve">Whisper-large-v3</t>
  </si>
  <si>
    <t xml:space="preserve">distil-whisper-v3</t>
  </si>
  <si>
    <t xml:space="preserve">minute</t>
  </si>
  <si>
    <t xml:space="preserve">Music generation</t>
  </si>
  <si>
    <t xml:space="preserve">/v1/audio/music</t>
  </si>
  <si>
    <t xml:space="preserve">MusicGen-medium</t>
  </si>
  <si>
    <t xml:space="preserve">Stable-Audio-Open</t>
  </si>
  <si>
    <t xml:space="preserve">30s clip</t>
  </si>
  <si>
    <t xml:space="preserve">Voice cloning</t>
  </si>
  <si>
    <t xml:space="preserve">/v1/audio/clone</t>
  </si>
  <si>
    <t xml:space="preserve">XTTS-v2 (clone mode)</t>
  </si>
  <si>
    <t xml:space="preserve">F5-TTS</t>
  </si>
  <si>
    <t xml:space="preserve">Video &amp; 3D</t>
  </si>
  <si>
    <t xml:space="preserve">Text-to-video</t>
  </si>
  <si>
    <t xml:space="preserve">/v1/video/generate</t>
  </si>
  <si>
    <t xml:space="preserve">LTX-Video (fal)</t>
  </si>
  <si>
    <t xml:space="preserve">CogVideoX-2B</t>
  </si>
  <si>
    <t xml:space="preserve">5s clip</t>
  </si>
  <si>
    <t xml:space="preserve">Lip-sync</t>
  </si>
  <si>
    <t xml:space="preserve">/v1/video/lipsync</t>
  </si>
  <si>
    <t xml:space="preserve">Wav2Lip</t>
  </si>
  <si>
    <t xml:space="preserve">LatentSync</t>
  </si>
  <si>
    <t xml:space="preserve">Image-to-3D</t>
  </si>
  <si>
    <t xml:space="preserve">/v1/3d/from-image</t>
  </si>
  <si>
    <t xml:space="preserve">TripoSR</t>
  </si>
  <si>
    <t xml:space="preserve">InstantMesh</t>
  </si>
  <si>
    <t xml:space="preserve">Average</t>
  </si>
  <si>
    <t xml:space="preserve">Pricing &amp; Topup Packs</t>
  </si>
  <si>
    <t xml:space="preserve">Pay-as-you-go · 1 credit = $0.01 base · packs give discount</t>
  </si>
  <si>
    <t xml:space="preserve">Free quota</t>
  </si>
  <si>
    <t xml:space="preserve">Free credits / month</t>
  </si>
  <si>
    <t xml:space="preserve">≈ 40 image generations · 200K LLM input tok</t>
  </si>
  <si>
    <t xml:space="preserve">Reset cadence</t>
  </si>
  <si>
    <t xml:space="preserve">Monthly (1st)</t>
  </si>
  <si>
    <t xml:space="preserve">via cron</t>
  </si>
  <si>
    <t xml:space="preserve">Eligibility</t>
  </si>
  <si>
    <t xml:space="preserve">Email-verified accounts</t>
  </si>
  <si>
    <t xml:space="preserve">1 quota per device fingerprint</t>
  </si>
  <si>
    <t xml:space="preserve">Hard stop when 0</t>
  </si>
  <si>
    <t xml:space="preserve">Yes</t>
  </si>
  <si>
    <t xml:space="preserve">API returns 402 unless paid balance &gt; 0</t>
  </si>
  <si>
    <t xml:space="preserve">Topup packs (paid)</t>
  </si>
  <si>
    <t xml:space="preserve">Pack</t>
  </si>
  <si>
    <t xml:space="preserve">Price (USD)</t>
  </si>
  <si>
    <t xml:space="preserve">Credits</t>
  </si>
  <si>
    <t xml:space="preserve">Effective $/credit</t>
  </si>
  <si>
    <t xml:space="preserve">Bonus vs base</t>
  </si>
  <si>
    <t xml:space="preserve">Starter</t>
  </si>
  <si>
    <t xml:space="preserve">Pro</t>
  </si>
  <si>
    <t xml:space="preserve">Scale</t>
  </si>
  <si>
    <t xml:space="preserve">Business</t>
  </si>
  <si>
    <t xml:space="preserve">Comparison vs competitors (per 1024×1024 image gen)</t>
  </si>
  <si>
    <t xml:space="preserve">Provider</t>
  </si>
  <si>
    <t xml:space="preserve">Notes</t>
  </si>
  <si>
    <t xml:space="preserve">Rnai (this plan)</t>
  </si>
  <si>
    <t xml:space="preserve">5 credits @ $0.01 — Pro pack lowers to $0.04</t>
  </si>
  <si>
    <t xml:space="preserve">Replicate FLUX schnell (cost)</t>
  </si>
  <si>
    <t xml:space="preserve">Direct provider cost</t>
  </si>
  <si>
    <t xml:space="preserve">OpenAI DALL-E 3 standard</t>
  </si>
  <si>
    <t xml:space="preserve">1024×1024</t>
  </si>
  <si>
    <t xml:space="preserve">Midjourney basic</t>
  </si>
  <si>
    <t xml:space="preserve">$10 / mo / ~370 fast hours</t>
  </si>
  <si>
    <t xml:space="preserve">Stability SD3</t>
  </si>
  <si>
    <t xml:space="preserve">API direct</t>
  </si>
  <si>
    <t xml:space="preserve">12-week implementation roadmap</t>
  </si>
  <si>
    <t xml:space="preserve">4 phases · build sequentially · gating items must clear before next phase</t>
  </si>
  <si>
    <t xml:space="preserve">Phase</t>
  </si>
  <si>
    <t xml:space="preserve">Week</t>
  </si>
  <si>
    <t xml:space="preserve">Workstream</t>
  </si>
  <si>
    <t xml:space="preserve">Deliverable</t>
  </si>
  <si>
    <t xml:space="preserve">Owner</t>
  </si>
  <si>
    <t xml:space="preserve">Gating?</t>
  </si>
  <si>
    <t xml:space="preserve">Phase 0 — Security</t>
  </si>
  <si>
    <t xml:space="preserve">W1</t>
  </si>
  <si>
    <t xml:space="preserve">Secrets</t>
  </si>
  <si>
    <t xml:space="preserve">Rotate Firebase key, HF token; clean .env.example; git filter-repo</t>
  </si>
  <si>
    <t xml:space="preserve">You</t>
  </si>
  <si>
    <t xml:space="preserve">YES</t>
  </si>
  <si>
    <t xml:space="preserve">Auth</t>
  </si>
  <si>
    <t xml:space="preserve">httpOnly cookie via /api/auth/session; middleware verifies token</t>
  </si>
  <si>
    <t xml:space="preserve">Rate limit</t>
  </si>
  <si>
    <t xml:space="preserve">Upstash Redis token bucket — 60 req/min per key</t>
  </si>
  <si>
    <t xml:space="preserve">Phase 1 — Billing</t>
  </si>
  <si>
    <t xml:space="preserve">W2</t>
  </si>
  <si>
    <t xml:space="preserve">Schema</t>
  </si>
  <si>
    <t xml:space="preserve">users + ledgerEntries + usageLogs collections; cron reset free quota</t>
  </si>
  <si>
    <t xml:space="preserve">Backend</t>
  </si>
  <si>
    <t xml:space="preserve">—</t>
  </si>
  <si>
    <t xml:space="preserve">lib/billing/credits.ts — reserve/commit/refund (transactional)</t>
  </si>
  <si>
    <t xml:space="preserve">W3</t>
  </si>
  <si>
    <t xml:space="preserve">Pricing</t>
  </si>
  <si>
    <t xml:space="preserve">lib/billing/pricing.ts table + middleware to charge existing 3 endpoints</t>
  </si>
  <si>
    <t xml:space="preserve">Stripe</t>
  </si>
  <si>
    <t xml:space="preserve">Checkout + webhook for 3 topup packs; Customer Portal</t>
  </si>
  <si>
    <t xml:space="preserve">W4</t>
  </si>
  <si>
    <t xml:space="preserve">Dashboard</t>
  </si>
  <si>
    <t xml:space="preserve">/dashboard/billing balance + history; usage chart</t>
  </si>
  <si>
    <t xml:space="preserve">Frontend</t>
  </si>
  <si>
    <t xml:space="preserve">Observability</t>
  </si>
  <si>
    <t xml:space="preserve">Sentry; request log retention 30d</t>
  </si>
  <si>
    <t xml:space="preserve">DevOps</t>
  </si>
  <si>
    <t xml:space="preserve">Phase 2 — Skills</t>
  </si>
  <si>
    <t xml:space="preserve">W5</t>
  </si>
  <si>
    <t xml:space="preserve">Refactor</t>
  </si>
  <si>
    <t xml:space="preserve">Provider router + skill registry; migrate 3 existing skills</t>
  </si>
  <si>
    <t xml:space="preserve">Image+</t>
  </si>
  <si>
    <t xml:space="preserve">Add upscale + stylize</t>
  </si>
  <si>
    <t xml:space="preserve">W6-7</t>
  </si>
  <si>
    <t xml:space="preserve">5 text skills via Together / OpenRouter</t>
  </si>
  <si>
    <t xml:space="preserve">W7-8</t>
  </si>
  <si>
    <t xml:space="preserve">TTS + STT + music + clone</t>
  </si>
  <si>
    <t xml:space="preserve">W8</t>
  </si>
  <si>
    <t xml:space="preserve">Async jobs</t>
  </si>
  <si>
    <t xml:space="preserve">QStash queue for &gt;10s skills; /api/jobs/[id]</t>
  </si>
  <si>
    <t xml:space="preserve">W9</t>
  </si>
  <si>
    <t xml:space="preserve">Storage</t>
  </si>
  <si>
    <t xml:space="preserve">Vercel Blob + signed URL; deprecate base64 input</t>
  </si>
  <si>
    <t xml:space="preserve">Cache</t>
  </si>
  <si>
    <t xml:space="preserve">24h cache by inputHash for idempotent skills</t>
  </si>
  <si>
    <t xml:space="preserve">Phase 3 — Polish</t>
  </si>
  <si>
    <t xml:space="preserve">W10</t>
  </si>
  <si>
    <t xml:space="preserve">Video/3D</t>
  </si>
  <si>
    <t xml:space="preserve">Video gen + lipsync + image-to-3D (async)</t>
  </si>
  <si>
    <t xml:space="preserve">W11</t>
  </si>
  <si>
    <t xml:space="preserve">Playground</t>
  </si>
  <si>
    <t xml:space="preserve">/playground page tests every skill from browser</t>
  </si>
  <si>
    <t xml:space="preserve">Docs</t>
  </si>
  <si>
    <t xml:space="preserve">OpenAPI spec + Mintlify docs site + cookbook</t>
  </si>
  <si>
    <t xml:space="preserve">W12</t>
  </si>
  <si>
    <t xml:space="preserve">SDK</t>
  </si>
  <si>
    <t xml:space="preserve">@rnai/sdk TS client; publish npm</t>
  </si>
  <si>
    <t xml:space="preserve">Launch</t>
  </si>
  <si>
    <t xml:space="preserve">Status page; PH launch; HF community post</t>
  </si>
  <si>
    <t xml:space="preserve">Marketing</t>
  </si>
  <si>
    <t xml:space="preserve">12-month financial projection (USD)</t>
  </si>
  <si>
    <t xml:space="preserve">Conservative scenario · blue = inputs, edit to change scenario · black = formulas</t>
  </si>
  <si>
    <t xml:space="preserve">Assumptions</t>
  </si>
  <si>
    <t xml:space="preserve">Starting paid users (M1)</t>
  </si>
  <si>
    <t xml:space="preserve">from soft launch / mailing list</t>
  </si>
  <si>
    <t xml:space="preserve">Monthly user growth rate</t>
  </si>
  <si>
    <t xml:space="preserve">20% MoM realistic for indie launch</t>
  </si>
  <si>
    <t xml:space="preserve">Free→Paid conversion</t>
  </si>
  <si>
    <t xml:space="preserve">5% of free users buy first pack</t>
  </si>
  <si>
    <t xml:space="preserve">Free signups / paid user</t>
  </si>
  <si>
    <t xml:space="preserve">for every 1 paid we gain 8 free</t>
  </si>
  <si>
    <t xml:space="preserve">ARPU (paid, USD/mo)</t>
  </si>
  <si>
    <t xml:space="preserve">blended pack purchase</t>
  </si>
  <si>
    <t xml:space="preserve">Free user infra cost / mo</t>
  </si>
  <si>
    <t xml:space="preserve">200 free credits × $0.002</t>
  </si>
  <si>
    <t xml:space="preserve">Paid user infra cost ratio</t>
  </si>
  <si>
    <t xml:space="preserve">40% of revenue = provider cost</t>
  </si>
  <si>
    <t xml:space="preserve">Stripe fee</t>
  </si>
  <si>
    <t xml:space="preserve">2.9% + $0.30/charge — modeled as %</t>
  </si>
  <si>
    <t xml:space="preserve">Fixed infra (Vercel/Upstash/etc.)</t>
  </si>
  <si>
    <t xml:space="preserve">USD / month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</si>
  <si>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</si>
  <si>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</si>
  <si>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</si>
  <si>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</si>
  <si>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</si>
  <si>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</si>
  <si>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</si>
  <si>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</si>
  <si>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</si>
  <si>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</si>
  <si>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</si>
  <si>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</si>
  <si>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</si>
  <si>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</t>
  </si>
  <si>
    <t xml:space="preserve">Paid users (active)</t>
  </si>
  <si>
    <t xml:space="preserve">Free users (active)</t>
  </si>
  <si>
    <t xml:space="preserve">Revenue</t>
  </si>
  <si>
    <t xml:space="preserve">Provider cost (paid)</t>
  </si>
  <si>
    <t xml:space="preserve">Provider cost (free)</t>
  </si>
  <si>
    <t xml:space="preserve">Stripe fees</t>
  </si>
  <si>
    <t xml:space="preserve">Fixed infra</t>
  </si>
  <si>
    <t xml:space="preserve">Gross profit</t>
  </si>
  <si>
    <t xml:space="preserve">Cumulative profit</t>
  </si>
  <si>
    <t xml:space="preserve">Notes:</t>
  </si>
  <si>
    <t xml:space="preserve">• Conservative — does not include marketing-led spike or enterprise contracts.</t>
  </si>
  <si>
    <t xml:space="preserve">• Edit blue cells (B5:B13) to model aggressive (e.g. 35% growth) or stress (e.g. 50% provider cost) scenarios.</t>
  </si>
  <si>
    <t xml:space="preserve">• Margin should improve as fixed costs amortize across larger user base.</t>
  </si>
  <si>
    <t xml:space="preserve">Risk register</t>
  </si>
  <si>
    <t xml:space="preserve">Score = Likelihood × Impact (1-3 each, max 9)</t>
  </si>
  <si>
    <t xml:space="preserve">#</t>
  </si>
  <si>
    <t xml:space="preserve">Risk</t>
  </si>
  <si>
    <t xml:space="preserve">Likelihood (1-3)</t>
  </si>
  <si>
    <t xml:space="preserve">Impact (1-3)</t>
  </si>
  <si>
    <t xml:space="preserve">Score</t>
  </si>
  <si>
    <t xml:space="preserve">Mitigation</t>
  </si>
  <si>
    <t xml:space="preserve">R1</t>
  </si>
  <si>
    <t xml:space="preserve">Provider price shock (HF/fal/Replicate raises)</t>
  </si>
  <si>
    <t xml:space="preserve">Multi-provider router; recalibrate quarterly</t>
  </si>
  <si>
    <t xml:space="preserve">R2</t>
  </si>
  <si>
    <t xml:space="preserve">Abuse / NSFW / CSAM generation</t>
  </si>
  <si>
    <t xml:space="preserve">Content moderation pre-call; ban + log; report endpoint</t>
  </si>
  <si>
    <t xml:space="preserve">R3</t>
  </si>
  <si>
    <t xml:space="preserve">Stripe fraud (test cards, chargebacks)</t>
  </si>
  <si>
    <t xml:space="preserve">Stripe Radar; min topup $5; email verify</t>
  </si>
  <si>
    <t xml:space="preserve">R4</t>
  </si>
  <si>
    <t xml:space="preserve">HF cold-start kills latency SLO</t>
  </si>
  <si>
    <t xml:space="preserve">Fallback provider; pre-warm cron; 5s timeout → fail-over</t>
  </si>
  <si>
    <t xml:space="preserve">R5</t>
  </si>
  <si>
    <t xml:space="preserve">Free quota abuse via multi-account</t>
  </si>
  <si>
    <t xml:space="preserve">Email verify + device fingerprint + 1 quota/fp</t>
  </si>
  <si>
    <t xml:space="preserve">R6</t>
  </si>
  <si>
    <t xml:space="preserve">Copyright dispute on generated output</t>
  </si>
  <si>
    <t xml:space="preserve">TOS shifts liability to user; record provenance hash</t>
  </si>
  <si>
    <t xml:space="preserve">R7</t>
  </si>
  <si>
    <t xml:space="preserve">GDPR / data deletion request</t>
  </si>
  <si>
    <t xml:space="preserve">DELETE endpoint; 90-day log retention; account deletion flow</t>
  </si>
  <si>
    <t xml:space="preserve">R8</t>
  </si>
  <si>
    <t xml:space="preserve">Vercel function timeout (300s) on long jobs</t>
  </si>
  <si>
    <t xml:space="preserve">Async queue (QStash); webhook callback</t>
  </si>
  <si>
    <t xml:space="preserve">R9</t>
  </si>
  <si>
    <t xml:space="preserve">API key leak (committed to git, etc.)</t>
  </si>
  <si>
    <t xml:space="preserve">Show key once; rotate endpoint; secret scanning</t>
  </si>
  <si>
    <t xml:space="preserve">R10</t>
  </si>
  <si>
    <t xml:space="preserve">Dependency on single auth (Firebase) lock-in</t>
  </si>
  <si>
    <t xml:space="preserve">Abstract auth in lib/auth/; OSS migration path doc</t>
  </si>
  <si>
    <t xml:space="preserve">Top 5 quick wins (this week)</t>
  </si>
  <si>
    <t xml:space="preserve">Impact-ranked, doable in &lt;1 day each</t>
  </si>
  <si>
    <t xml:space="preserve">Action</t>
  </si>
  <si>
    <t xml:space="preserve">Why now</t>
  </si>
  <si>
    <t xml:space="preserve">Effort</t>
  </si>
  <si>
    <t xml:space="preserve">Rotate every secret + clean .env.example</t>
  </si>
  <si>
    <t xml:space="preserve">Real keys are committed in git history</t>
  </si>
  <si>
    <t xml:space="preserve">1h</t>
  </si>
  <si>
    <t xml:space="preserve">Add Upstash rate limit 60 req/min/key</t>
  </si>
  <si>
    <t xml:space="preserve">Single bot can blow HF cost</t>
  </si>
  <si>
    <t xml:space="preserve">2h</t>
  </si>
  <si>
    <t xml:space="preserve">Refactor huggingface.ts to provider interface</t>
  </si>
  <si>
    <t xml:space="preserve">Unblocks adding Replicate / Together</t>
  </si>
  <si>
    <t xml:space="preserve">3h</t>
  </si>
  <si>
    <t xml:space="preserve">Start usageLogs collection (no billing yet)</t>
  </si>
  <si>
    <t xml:space="preserve">Need data before pricing decisions</t>
  </si>
  <si>
    <t xml:space="preserve">httpOnly session cookie via /api/auth/session</t>
  </si>
  <si>
    <t xml:space="preserve">Current cookie is JS-readable → XSS risk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</si>
</sst>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000"/>
    <numFmt numFmtId="166" formatCode="\$#,##0.0000"/>
    <numFmt numFmtId="167" formatCode="0.0%"/>
    <numFmt numFmtId="168" formatCode="\$#,##0"/>
    <numFmt numFmtId="169" formatCode="#,##0"/>
    <numFmt numFmtId="170" formatCode="\$#,##0.00"/>
    <numFmt numFmtId="171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77757"/>
      <name val="Arial"/>
      <family val="0"/>
      <charset val="1"/>
    </font>
    <font>
      <i val="true"/>
      <sz val="10"/>
      <color rgb="FF6A5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1B18"/>
        <bgColor rgb="FF333333"/>
      </patternFill>
    </fill>
    <fill>
      <patternFill patternType="solid">
        <fgColor rgb="FFFCE4D6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4CC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DDEBF7"/>
      <rgbColor rgb="FF660066"/>
      <rgbColor rgb="FFD77757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A5A4A"/>
      <rgbColor rgb="FF969696"/>
      <rgbColor rgb="FF003366"/>
      <rgbColor rgb="FF339966"/>
      <rgbColor rgb="FF003300"/>
      <rgbColor rgb="FF1E1B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7.75" hidden="false" customHeight="true" outlineLevel="0" collapsed="false">
      <c r="A5" s="4" t="s">
        <v>13</v>
      </c>
      <c r="B5" s="5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7" t="n">
        <v>5</v>
      </c>
      <c r="I5" s="8" t="n">
        <v>0.003</v>
      </c>
      <c r="J5" s="9" t="n">
        <f aca="false">H5*0.01</f>
        <v>0.05</v>
      </c>
      <c r="K5" s="10" t="n">
        <f aca="false">IFERROR((J5-I5)/J5,0)</f>
        <v>0.94</v>
      </c>
    </row>
    <row r="6" customFormat="false" ht="27.75" hidden="false" customHeight="true" outlineLevel="0" collapsed="false">
      <c r="A6" s="4" t="s">
        <v>13</v>
      </c>
      <c r="B6" s="5" t="s">
        <v>20</v>
      </c>
      <c r="C6" s="6" t="s">
        <v>15</v>
      </c>
      <c r="D6" s="6" t="s">
        <v>21</v>
      </c>
      <c r="E6" s="6" t="s">
        <v>22</v>
      </c>
      <c r="F6" s="6" t="s">
        <v>23</v>
      </c>
      <c r="G6" s="6" t="s">
        <v>19</v>
      </c>
      <c r="H6" s="7" t="n">
        <v>8</v>
      </c>
      <c r="I6" s="8" t="n">
        <v>0.005</v>
      </c>
      <c r="J6" s="9" t="n">
        <f aca="false">H6*0.01</f>
        <v>0.08</v>
      </c>
      <c r="K6" s="10" t="n">
        <f aca="false">IFERROR((J6-I6)/J6,0)</f>
        <v>0.9375</v>
      </c>
    </row>
    <row r="7" customFormat="false" ht="27.75" hidden="false" customHeight="true" outlineLevel="0" collapsed="false">
      <c r="A7" s="4" t="s">
        <v>13</v>
      </c>
      <c r="B7" s="5" t="s">
        <v>24</v>
      </c>
      <c r="C7" s="6" t="s">
        <v>15</v>
      </c>
      <c r="D7" s="6" t="s">
        <v>25</v>
      </c>
      <c r="E7" s="6" t="s">
        <v>26</v>
      </c>
      <c r="F7" s="6" t="s">
        <v>27</v>
      </c>
      <c r="G7" s="6" t="s">
        <v>19</v>
      </c>
      <c r="H7" s="7" t="n">
        <v>2</v>
      </c>
      <c r="I7" s="8" t="n">
        <v>0.001</v>
      </c>
      <c r="J7" s="9" t="n">
        <f aca="false">H7*0.01</f>
        <v>0.02</v>
      </c>
      <c r="K7" s="10" t="n">
        <f aca="false">IFERROR((J7-I7)/J7,0)</f>
        <v>0.95</v>
      </c>
    </row>
    <row r="8" customFormat="false" ht="27.75" hidden="false" customHeight="true" outlineLevel="0" collapsed="false">
      <c r="A8" s="4" t="s">
        <v>13</v>
      </c>
      <c r="B8" s="5" t="s">
        <v>28</v>
      </c>
      <c r="C8" s="6" t="s">
        <v>29</v>
      </c>
      <c r="D8" s="6" t="s">
        <v>30</v>
      </c>
      <c r="E8" s="6" t="s">
        <v>31</v>
      </c>
      <c r="F8" s="6" t="s">
        <v>32</v>
      </c>
      <c r="G8" s="6" t="s">
        <v>19</v>
      </c>
      <c r="H8" s="7" t="n">
        <v>3</v>
      </c>
      <c r="I8" s="8" t="n">
        <v>0.002</v>
      </c>
      <c r="J8" s="9" t="n">
        <f aca="false">H8*0.01</f>
        <v>0.03</v>
      </c>
      <c r="K8" s="10" t="n">
        <f aca="false">IFERROR((J8-I8)/J8,0)</f>
        <v>0.933333333333333</v>
      </c>
    </row>
    <row r="9" customFormat="false" ht="27.75" hidden="false" customHeight="true" outlineLevel="0" collapsed="false">
      <c r="A9" s="4" t="s">
        <v>13</v>
      </c>
      <c r="B9" s="5" t="s">
        <v>33</v>
      </c>
      <c r="C9" s="6" t="s">
        <v>29</v>
      </c>
      <c r="D9" s="6" t="s">
        <v>34</v>
      </c>
      <c r="E9" s="6" t="s">
        <v>35</v>
      </c>
      <c r="F9" s="6" t="s">
        <v>36</v>
      </c>
      <c r="G9" s="6" t="s">
        <v>19</v>
      </c>
      <c r="H9" s="7" t="n">
        <v>6</v>
      </c>
      <c r="I9" s="8" t="n">
        <v>0.004</v>
      </c>
      <c r="J9" s="9" t="n">
        <f aca="false">H9*0.01</f>
        <v>0.06</v>
      </c>
      <c r="K9" s="10" t="n">
        <f aca="false">IFERROR((J9-I9)/J9,0)</f>
        <v>0.933333333333333</v>
      </c>
    </row>
    <row r="10" customFormat="false" ht="27.75" hidden="false" customHeight="true" outlineLevel="0" collapsed="false">
      <c r="A10" s="11" t="s">
        <v>37</v>
      </c>
      <c r="B10" s="12" t="s">
        <v>38</v>
      </c>
      <c r="C10" s="6" t="s">
        <v>29</v>
      </c>
      <c r="D10" s="6" t="s">
        <v>39</v>
      </c>
      <c r="E10" s="6" t="s">
        <v>40</v>
      </c>
      <c r="F10" s="6" t="s">
        <v>41</v>
      </c>
      <c r="G10" s="6" t="s">
        <v>42</v>
      </c>
      <c r="H10" s="7" t="n">
        <v>2</v>
      </c>
      <c r="I10" s="8" t="n">
        <v>0.0009</v>
      </c>
      <c r="J10" s="9" t="n">
        <f aca="false">H10*0.01</f>
        <v>0.02</v>
      </c>
      <c r="K10" s="10" t="n">
        <f aca="false">IFERROR((J10-I10)/J10,0)</f>
        <v>0.955</v>
      </c>
    </row>
    <row r="11" customFormat="false" ht="27.75" hidden="false" customHeight="true" outlineLevel="0" collapsed="false">
      <c r="A11" s="11" t="s">
        <v>37</v>
      </c>
      <c r="B11" s="12" t="s">
        <v>43</v>
      </c>
      <c r="C11" s="6" t="s">
        <v>29</v>
      </c>
      <c r="D11" s="6" t="s">
        <v>44</v>
      </c>
      <c r="E11" s="6" t="s">
        <v>45</v>
      </c>
      <c r="F11" s="6" t="s">
        <v>46</v>
      </c>
      <c r="G11" s="6" t="s">
        <v>47</v>
      </c>
      <c r="H11" s="7" t="n">
        <v>0.5</v>
      </c>
      <c r="I11" s="8" t="n">
        <v>0.0002</v>
      </c>
      <c r="J11" s="9" t="n">
        <f aca="false">H11*0.01</f>
        <v>0.005</v>
      </c>
      <c r="K11" s="10" t="n">
        <f aca="false">IFERROR((J11-I11)/J11,0)</f>
        <v>0.96</v>
      </c>
    </row>
    <row r="12" customFormat="false" ht="27.75" hidden="false" customHeight="true" outlineLevel="0" collapsed="false">
      <c r="A12" s="11" t="s">
        <v>37</v>
      </c>
      <c r="B12" s="12" t="s">
        <v>48</v>
      </c>
      <c r="C12" s="6" t="s">
        <v>29</v>
      </c>
      <c r="D12" s="6" t="s">
        <v>49</v>
      </c>
      <c r="E12" s="6" t="s">
        <v>50</v>
      </c>
      <c r="F12" s="6" t="s">
        <v>51</v>
      </c>
      <c r="G12" s="6" t="s">
        <v>47</v>
      </c>
      <c r="H12" s="7" t="n">
        <v>0.5</v>
      </c>
      <c r="I12" s="8" t="n">
        <v>0.0002</v>
      </c>
      <c r="J12" s="9" t="n">
        <f aca="false">H12*0.01</f>
        <v>0.005</v>
      </c>
      <c r="K12" s="10" t="n">
        <f aca="false">IFERROR((J12-I12)/J12,0)</f>
        <v>0.96</v>
      </c>
    </row>
    <row r="13" customFormat="false" ht="27.75" hidden="false" customHeight="true" outlineLevel="0" collapsed="false">
      <c r="A13" s="11" t="s">
        <v>37</v>
      </c>
      <c r="B13" s="12" t="s">
        <v>52</v>
      </c>
      <c r="C13" s="6" t="s">
        <v>29</v>
      </c>
      <c r="D13" s="6" t="s">
        <v>53</v>
      </c>
      <c r="E13" s="6" t="s">
        <v>54</v>
      </c>
      <c r="F13" s="6" t="s">
        <v>55</v>
      </c>
      <c r="G13" s="6" t="s">
        <v>56</v>
      </c>
      <c r="H13" s="7" t="n">
        <v>0.05</v>
      </c>
      <c r="I13" s="8" t="n">
        <v>2E-005</v>
      </c>
      <c r="J13" s="9" t="n">
        <f aca="false">H13*0.01</f>
        <v>0.0005</v>
      </c>
      <c r="K13" s="10" t="n">
        <f aca="false">IFERROR((J13-I13)/J13,0)</f>
        <v>0.96</v>
      </c>
    </row>
    <row r="14" customFormat="false" ht="27.75" hidden="false" customHeight="true" outlineLevel="0" collapsed="false">
      <c r="A14" s="11" t="s">
        <v>37</v>
      </c>
      <c r="B14" s="12" t="s">
        <v>57</v>
      </c>
      <c r="C14" s="6" t="s">
        <v>29</v>
      </c>
      <c r="D14" s="6" t="s">
        <v>58</v>
      </c>
      <c r="E14" s="6" t="s">
        <v>59</v>
      </c>
      <c r="F14" s="6" t="s">
        <v>60</v>
      </c>
      <c r="G14" s="6" t="s">
        <v>61</v>
      </c>
      <c r="H14" s="7" t="n">
        <v>0.1</v>
      </c>
      <c r="I14" s="8" t="n">
        <v>5E-005</v>
      </c>
      <c r="J14" s="9" t="n">
        <f aca="false">H14*0.01</f>
        <v>0.001</v>
      </c>
      <c r="K14" s="10" t="n">
        <f aca="false">IFERROR((J14-I14)/J14,0)</f>
        <v>0.95</v>
      </c>
    </row>
    <row r="15" customFormat="false" ht="27.75" hidden="false" customHeight="true" outlineLevel="0" collapsed="false">
      <c r="A15" s="13" t="s">
        <v>62</v>
      </c>
      <c r="B15" s="14" t="s">
        <v>63</v>
      </c>
      <c r="C15" s="6" t="s">
        <v>29</v>
      </c>
      <c r="D15" s="6" t="s">
        <v>64</v>
      </c>
      <c r="E15" s="6" t="s">
        <v>65</v>
      </c>
      <c r="F15" s="6" t="s">
        <v>66</v>
      </c>
      <c r="G15" s="6" t="s">
        <v>67</v>
      </c>
      <c r="H15" s="7" t="n">
        <v>1</v>
      </c>
      <c r="I15" s="8" t="n">
        <v>0.0003</v>
      </c>
      <c r="J15" s="9" t="n">
        <f aca="false">H15*0.01</f>
        <v>0.01</v>
      </c>
      <c r="K15" s="10" t="n">
        <f aca="false">IFERROR((J15-I15)/J15,0)</f>
        <v>0.97</v>
      </c>
    </row>
    <row r="16" customFormat="false" ht="27.75" hidden="false" customHeight="true" outlineLevel="0" collapsed="false">
      <c r="A16" s="13" t="s">
        <v>62</v>
      </c>
      <c r="B16" s="14" t="s">
        <v>68</v>
      </c>
      <c r="C16" s="6" t="s">
        <v>29</v>
      </c>
      <c r="D16" s="6" t="s">
        <v>69</v>
      </c>
      <c r="E16" s="6" t="s">
        <v>70</v>
      </c>
      <c r="F16" s="6" t="s">
        <v>71</v>
      </c>
      <c r="G16" s="6" t="s">
        <v>72</v>
      </c>
      <c r="H16" s="7" t="n">
        <v>3</v>
      </c>
      <c r="I16" s="8" t="n">
        <v>0.0008</v>
      </c>
      <c r="J16" s="9" t="n">
        <f aca="false">H16*0.01</f>
        <v>0.03</v>
      </c>
      <c r="K16" s="10" t="n">
        <f aca="false">IFERROR((J16-I16)/J16,0)</f>
        <v>0.973333333333333</v>
      </c>
    </row>
    <row r="17" customFormat="false" ht="27.75" hidden="false" customHeight="true" outlineLevel="0" collapsed="false">
      <c r="A17" s="13" t="s">
        <v>62</v>
      </c>
      <c r="B17" s="14" t="s">
        <v>73</v>
      </c>
      <c r="C17" s="6" t="s">
        <v>29</v>
      </c>
      <c r="D17" s="6" t="s">
        <v>74</v>
      </c>
      <c r="E17" s="6" t="s">
        <v>75</v>
      </c>
      <c r="F17" s="6" t="s">
        <v>76</v>
      </c>
      <c r="G17" s="6" t="s">
        <v>77</v>
      </c>
      <c r="H17" s="7" t="n">
        <v>10</v>
      </c>
      <c r="I17" s="8" t="n">
        <v>0.005</v>
      </c>
      <c r="J17" s="9" t="n">
        <f aca="false">H17*0.01</f>
        <v>0.1</v>
      </c>
      <c r="K17" s="10" t="n">
        <f aca="false">IFERROR((J17-I17)/J17,0)</f>
        <v>0.95</v>
      </c>
    </row>
    <row r="18" customFormat="false" ht="27.75" hidden="false" customHeight="true" outlineLevel="0" collapsed="false">
      <c r="A18" s="13" t="s">
        <v>62</v>
      </c>
      <c r="B18" s="14" t="s">
        <v>78</v>
      </c>
      <c r="C18" s="6" t="s">
        <v>29</v>
      </c>
      <c r="D18" s="6" t="s">
        <v>79</v>
      </c>
      <c r="E18" s="6" t="s">
        <v>80</v>
      </c>
      <c r="F18" s="6" t="s">
        <v>81</v>
      </c>
      <c r="G18" s="6" t="s">
        <v>61</v>
      </c>
      <c r="H18" s="7" t="n">
        <v>8</v>
      </c>
      <c r="I18" s="8" t="n">
        <v>0.004</v>
      </c>
      <c r="J18" s="9" t="n">
        <f aca="false">H18*0.01</f>
        <v>0.08</v>
      </c>
      <c r="K18" s="10" t="n">
        <f aca="false">IFERROR((J18-I18)/J18,0)</f>
        <v>0.95</v>
      </c>
    </row>
    <row r="19" customFormat="false" ht="27.75" hidden="false" customHeight="true" outlineLevel="0" collapsed="false">
      <c r="A19" s="15" t="s">
        <v>82</v>
      </c>
      <c r="B19" s="16" t="s">
        <v>83</v>
      </c>
      <c r="C19" s="6" t="s">
        <v>29</v>
      </c>
      <c r="D19" s="6" t="s">
        <v>84</v>
      </c>
      <c r="E19" s="6" t="s">
        <v>85</v>
      </c>
      <c r="F19" s="6" t="s">
        <v>86</v>
      </c>
      <c r="G19" s="6" t="s">
        <v>87</v>
      </c>
      <c r="H19" s="7" t="n">
        <v>30</v>
      </c>
      <c r="I19" s="8" t="n">
        <v>0.018</v>
      </c>
      <c r="J19" s="9" t="n">
        <f aca="false">H19*0.01</f>
        <v>0.3</v>
      </c>
      <c r="K19" s="10" t="n">
        <f aca="false">IFERROR((J19-I19)/J19,0)</f>
        <v>0.94</v>
      </c>
    </row>
    <row r="20" customFormat="false" ht="27.75" hidden="false" customHeight="true" outlineLevel="0" collapsed="false">
      <c r="A20" s="15" t="s">
        <v>82</v>
      </c>
      <c r="B20" s="16" t="s">
        <v>88</v>
      </c>
      <c r="C20" s="6" t="s">
        <v>29</v>
      </c>
      <c r="D20" s="6" t="s">
        <v>89</v>
      </c>
      <c r="E20" s="6" t="s">
        <v>90</v>
      </c>
      <c r="F20" s="6" t="s">
        <v>91</v>
      </c>
      <c r="G20" s="6" t="s">
        <v>61</v>
      </c>
      <c r="H20" s="7" t="n">
        <v>20</v>
      </c>
      <c r="I20" s="8" t="n">
        <v>0.012</v>
      </c>
      <c r="J20" s="9" t="n">
        <f aca="false">H20*0.01</f>
        <v>0.2</v>
      </c>
      <c r="K20" s="10" t="n">
        <f aca="false">IFERROR((J20-I20)/J20,0)</f>
        <v>0.94</v>
      </c>
    </row>
    <row r="21" customFormat="false" ht="27.75" hidden="false" customHeight="true" outlineLevel="0" collapsed="false">
      <c r="A21" s="15" t="s">
        <v>82</v>
      </c>
      <c r="B21" s="16" t="s">
        <v>92</v>
      </c>
      <c r="C21" s="6" t="s">
        <v>29</v>
      </c>
      <c r="D21" s="6" t="s">
        <v>93</v>
      </c>
      <c r="E21" s="6" t="s">
        <v>94</v>
      </c>
      <c r="F21" s="6" t="s">
        <v>95</v>
      </c>
      <c r="G21" s="6" t="s">
        <v>61</v>
      </c>
      <c r="H21" s="7" t="n">
        <v>15</v>
      </c>
      <c r="I21" s="8" t="n">
        <v>0.008</v>
      </c>
      <c r="J21" s="9" t="n">
        <f aca="false">H21*0.01</f>
        <v>0.15</v>
      </c>
      <c r="K21" s="10" t="n">
        <f aca="false">IFERROR((J21-I21)/J21,0)</f>
        <v>0.946666666666667</v>
      </c>
    </row>
    <row r="23" customFormat="false" ht="15" hidden="false" customHeight="false" outlineLevel="0" collapsed="false">
      <c r="A23" s="17" t="s">
        <v>96</v>
      </c>
      <c r="K23" s="18" t="n">
        <f aca="false">AVERAGE(K5:K21)</f>
        <v>0.949950980392157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97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98</v>
      </c>
      <c r="B2" s="2"/>
      <c r="C2" s="2"/>
      <c r="D2" s="2"/>
      <c r="E2" s="2"/>
    </row>
    <row r="4" customFormat="false" ht="15" hidden="false" customHeight="true" outlineLevel="0" collapsed="false">
      <c r="A4" s="19" t="s">
        <v>99</v>
      </c>
      <c r="B4" s="19"/>
      <c r="C4" s="19"/>
      <c r="D4" s="19"/>
      <c r="E4" s="19"/>
    </row>
    <row r="5" customFormat="false" ht="15" hidden="false" customHeight="false" outlineLevel="0" collapsed="false">
      <c r="A5" s="20" t="s">
        <v>100</v>
      </c>
      <c r="B5" s="21" t="n">
        <v>200</v>
      </c>
      <c r="C5" s="22" t="s">
        <v>101</v>
      </c>
    </row>
    <row r="6" customFormat="false" ht="15" hidden="false" customHeight="false" outlineLevel="0" collapsed="false">
      <c r="A6" s="20" t="s">
        <v>102</v>
      </c>
      <c r="B6" s="21" t="s">
        <v>103</v>
      </c>
      <c r="C6" s="22" t="s">
        <v>104</v>
      </c>
    </row>
    <row r="7" customFormat="false" ht="15" hidden="false" customHeight="false" outlineLevel="0" collapsed="false">
      <c r="A7" s="20" t="s">
        <v>105</v>
      </c>
      <c r="B7" s="21" t="s">
        <v>106</v>
      </c>
      <c r="C7" s="22" t="s">
        <v>107</v>
      </c>
    </row>
    <row r="8" customFormat="false" ht="15" hidden="false" customHeight="false" outlineLevel="0" collapsed="false">
      <c r="A8" s="20" t="s">
        <v>108</v>
      </c>
      <c r="B8" s="21" t="s">
        <v>109</v>
      </c>
      <c r="C8" s="22" t="s">
        <v>110</v>
      </c>
    </row>
    <row r="11" customFormat="false" ht="15" hidden="false" customHeight="true" outlineLevel="0" collapsed="false">
      <c r="A11" s="19" t="s">
        <v>111</v>
      </c>
      <c r="B11" s="19"/>
      <c r="C11" s="19"/>
      <c r="D11" s="19"/>
      <c r="E11" s="19"/>
    </row>
    <row r="12" customFormat="false" ht="15" hidden="false" customHeight="false" outlineLevel="0" collapsed="false">
      <c r="A12" s="3" t="s">
        <v>112</v>
      </c>
      <c r="B12" s="3" t="s">
        <v>113</v>
      </c>
      <c r="C12" s="3" t="s">
        <v>114</v>
      </c>
      <c r="D12" s="3" t="s">
        <v>115</v>
      </c>
      <c r="E12" s="3" t="s">
        <v>116</v>
      </c>
    </row>
    <row r="13" customFormat="false" ht="15" hidden="false" customHeight="false" outlineLevel="0" collapsed="false">
      <c r="A13" s="22" t="s">
        <v>117</v>
      </c>
      <c r="B13" s="23" t="n">
        <v>5</v>
      </c>
      <c r="C13" s="24" t="n">
        <v>600</v>
      </c>
      <c r="D13" s="25" t="n">
        <f aca="false">B13/C13</f>
        <v>0.00833333333333333</v>
      </c>
      <c r="E13" s="26" t="n">
        <f aca="false">(0.01-D13)/0.01</f>
        <v>0.166666666666667</v>
      </c>
    </row>
    <row r="14" customFormat="false" ht="15" hidden="false" customHeight="false" outlineLevel="0" collapsed="false">
      <c r="A14" s="22" t="s">
        <v>118</v>
      </c>
      <c r="B14" s="23" t="n">
        <v>20</v>
      </c>
      <c r="C14" s="24" t="n">
        <v>2500</v>
      </c>
      <c r="D14" s="25" t="n">
        <f aca="false">B14/C14</f>
        <v>0.008</v>
      </c>
      <c r="E14" s="26" t="n">
        <f aca="false">(0.01-D14)/0.01</f>
        <v>0.2</v>
      </c>
    </row>
    <row r="15" customFormat="false" ht="15" hidden="false" customHeight="false" outlineLevel="0" collapsed="false">
      <c r="A15" s="22" t="s">
        <v>119</v>
      </c>
      <c r="B15" s="23" t="n">
        <v>100</v>
      </c>
      <c r="C15" s="24" t="n">
        <v>13500</v>
      </c>
      <c r="D15" s="25" t="n">
        <f aca="false">B15/C15</f>
        <v>0.00740740740740741</v>
      </c>
      <c r="E15" s="26" t="n">
        <f aca="false">(0.01-D15)/0.01</f>
        <v>0.259259259259259</v>
      </c>
    </row>
    <row r="16" customFormat="false" ht="15" hidden="false" customHeight="false" outlineLevel="0" collapsed="false">
      <c r="A16" s="22" t="s">
        <v>120</v>
      </c>
      <c r="B16" s="23" t="n">
        <v>500</v>
      </c>
      <c r="C16" s="24" t="n">
        <v>75000</v>
      </c>
      <c r="D16" s="25" t="n">
        <f aca="false">B16/C16</f>
        <v>0.00666666666666667</v>
      </c>
      <c r="E16" s="26" t="n">
        <f aca="false">(0.01-D16)/0.01</f>
        <v>0.333333333333333</v>
      </c>
    </row>
    <row r="19" customFormat="false" ht="15" hidden="false" customHeight="true" outlineLevel="0" collapsed="false">
      <c r="A19" s="19" t="s">
        <v>121</v>
      </c>
      <c r="B19" s="19"/>
      <c r="C19" s="19"/>
      <c r="D19" s="19"/>
      <c r="E19" s="19"/>
    </row>
    <row r="20" customFormat="false" ht="15" hidden="false" customHeight="false" outlineLevel="0" collapsed="false">
      <c r="A20" s="3" t="s">
        <v>122</v>
      </c>
      <c r="B20" s="3" t="s">
        <v>113</v>
      </c>
      <c r="C20" s="3" t="s">
        <v>123</v>
      </c>
      <c r="D20" s="3"/>
      <c r="E20" s="3"/>
    </row>
    <row r="21" customFormat="false" ht="15" hidden="false" customHeight="false" outlineLevel="0" collapsed="false">
      <c r="A21" s="22" t="s">
        <v>124</v>
      </c>
      <c r="B21" s="25" t="n">
        <v>0.05</v>
      </c>
      <c r="C21" s="22" t="s">
        <v>125</v>
      </c>
    </row>
    <row r="22" customFormat="false" ht="15" hidden="false" customHeight="false" outlineLevel="0" collapsed="false">
      <c r="A22" s="22" t="s">
        <v>126</v>
      </c>
      <c r="B22" s="25" t="n">
        <v>0.003</v>
      </c>
      <c r="C22" s="22" t="s">
        <v>127</v>
      </c>
    </row>
    <row r="23" customFormat="false" ht="15" hidden="false" customHeight="false" outlineLevel="0" collapsed="false">
      <c r="A23" s="22" t="s">
        <v>128</v>
      </c>
      <c r="B23" s="25" t="n">
        <v>0.04</v>
      </c>
      <c r="C23" s="22" t="s">
        <v>129</v>
      </c>
    </row>
    <row r="24" customFormat="false" ht="15" hidden="false" customHeight="false" outlineLevel="0" collapsed="false">
      <c r="A24" s="22" t="s">
        <v>130</v>
      </c>
      <c r="B24" s="25" t="n">
        <v>0.027</v>
      </c>
      <c r="C24" s="22" t="s">
        <v>131</v>
      </c>
    </row>
    <row r="25" customFormat="false" ht="15" hidden="false" customHeight="false" outlineLevel="0" collapsed="false">
      <c r="A25" s="22" t="s">
        <v>132</v>
      </c>
      <c r="B25" s="25" t="n">
        <v>0.065</v>
      </c>
      <c r="C25" s="22" t="s">
        <v>133</v>
      </c>
    </row>
  </sheetData>
  <mergeCells count="5">
    <mergeCell ref="A1:E1"/>
    <mergeCell ref="A2:E2"/>
    <mergeCell ref="A4:E4"/>
    <mergeCell ref="A11:E11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9"/>
  </cols>
  <sheetData>
    <row r="1" customFormat="false" ht="19.7" hidden="false" customHeight="false" outlineLevel="0" collapsed="false">
      <c r="A1" s="1" t="s">
        <v>134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135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136</v>
      </c>
      <c r="B4" s="3" t="s">
        <v>137</v>
      </c>
      <c r="C4" s="3" t="s">
        <v>138</v>
      </c>
      <c r="D4" s="3" t="s">
        <v>139</v>
      </c>
      <c r="E4" s="3" t="s">
        <v>140</v>
      </c>
      <c r="F4" s="3" t="s">
        <v>141</v>
      </c>
    </row>
    <row r="5" customFormat="false" ht="23.85" hidden="false" customHeight="false" outlineLevel="0" collapsed="false">
      <c r="A5" s="27" t="s">
        <v>142</v>
      </c>
      <c r="B5" s="27" t="s">
        <v>143</v>
      </c>
      <c r="C5" s="27" t="s">
        <v>144</v>
      </c>
      <c r="D5" s="27" t="s">
        <v>145</v>
      </c>
      <c r="E5" s="27" t="s">
        <v>146</v>
      </c>
      <c r="F5" s="28" t="s">
        <v>147</v>
      </c>
    </row>
    <row r="6" customFormat="false" ht="23.85" hidden="false" customHeight="false" outlineLevel="0" collapsed="false">
      <c r="A6" s="27" t="s">
        <v>142</v>
      </c>
      <c r="B6" s="27" t="s">
        <v>143</v>
      </c>
      <c r="C6" s="27" t="s">
        <v>148</v>
      </c>
      <c r="D6" s="27" t="s">
        <v>149</v>
      </c>
      <c r="E6" s="27" t="s">
        <v>146</v>
      </c>
      <c r="F6" s="28" t="s">
        <v>147</v>
      </c>
    </row>
    <row r="7" customFormat="false" ht="15" hidden="false" customHeight="false" outlineLevel="0" collapsed="false">
      <c r="A7" s="27" t="s">
        <v>142</v>
      </c>
      <c r="B7" s="27" t="s">
        <v>143</v>
      </c>
      <c r="C7" s="27" t="s">
        <v>150</v>
      </c>
      <c r="D7" s="27" t="s">
        <v>151</v>
      </c>
      <c r="E7" s="27" t="s">
        <v>146</v>
      </c>
      <c r="F7" s="28" t="s">
        <v>147</v>
      </c>
    </row>
    <row r="8" customFormat="false" ht="23.85" hidden="false" customHeight="false" outlineLevel="0" collapsed="false">
      <c r="A8" s="29" t="s">
        <v>152</v>
      </c>
      <c r="B8" s="29" t="s">
        <v>153</v>
      </c>
      <c r="C8" s="29" t="s">
        <v>154</v>
      </c>
      <c r="D8" s="29" t="s">
        <v>155</v>
      </c>
      <c r="E8" s="29" t="s">
        <v>156</v>
      </c>
      <c r="F8" s="29" t="s">
        <v>157</v>
      </c>
    </row>
    <row r="9" customFormat="false" ht="15" hidden="false" customHeight="false" outlineLevel="0" collapsed="false">
      <c r="A9" s="29" t="s">
        <v>152</v>
      </c>
      <c r="B9" s="29" t="s">
        <v>153</v>
      </c>
      <c r="C9" s="29" t="s">
        <v>114</v>
      </c>
      <c r="D9" s="29" t="s">
        <v>158</v>
      </c>
      <c r="E9" s="29" t="s">
        <v>156</v>
      </c>
      <c r="F9" s="29" t="s">
        <v>157</v>
      </c>
    </row>
    <row r="10" customFormat="false" ht="23.85" hidden="false" customHeight="false" outlineLevel="0" collapsed="false">
      <c r="A10" s="29" t="s">
        <v>152</v>
      </c>
      <c r="B10" s="29" t="s">
        <v>159</v>
      </c>
      <c r="C10" s="29" t="s">
        <v>160</v>
      </c>
      <c r="D10" s="29" t="s">
        <v>161</v>
      </c>
      <c r="E10" s="29" t="s">
        <v>156</v>
      </c>
      <c r="F10" s="29" t="s">
        <v>157</v>
      </c>
    </row>
    <row r="11" customFormat="false" ht="15" hidden="false" customHeight="false" outlineLevel="0" collapsed="false">
      <c r="A11" s="29" t="s">
        <v>152</v>
      </c>
      <c r="B11" s="29" t="s">
        <v>159</v>
      </c>
      <c r="C11" s="29" t="s">
        <v>162</v>
      </c>
      <c r="D11" s="29" t="s">
        <v>163</v>
      </c>
      <c r="E11" s="29" t="s">
        <v>156</v>
      </c>
      <c r="F11" s="29" t="s">
        <v>157</v>
      </c>
    </row>
    <row r="12" customFormat="false" ht="15" hidden="false" customHeight="false" outlineLevel="0" collapsed="false">
      <c r="A12" s="29" t="s">
        <v>152</v>
      </c>
      <c r="B12" s="29" t="s">
        <v>164</v>
      </c>
      <c r="C12" s="29" t="s">
        <v>165</v>
      </c>
      <c r="D12" s="29" t="s">
        <v>166</v>
      </c>
      <c r="E12" s="29" t="s">
        <v>167</v>
      </c>
      <c r="F12" s="29" t="s">
        <v>157</v>
      </c>
    </row>
    <row r="13" customFormat="false" ht="15" hidden="false" customHeight="false" outlineLevel="0" collapsed="false">
      <c r="A13" s="29" t="s">
        <v>152</v>
      </c>
      <c r="B13" s="29" t="s">
        <v>164</v>
      </c>
      <c r="C13" s="29" t="s">
        <v>168</v>
      </c>
      <c r="D13" s="29" t="s">
        <v>169</v>
      </c>
      <c r="E13" s="29" t="s">
        <v>170</v>
      </c>
      <c r="F13" s="29" t="s">
        <v>157</v>
      </c>
    </row>
    <row r="14" customFormat="false" ht="15" hidden="false" customHeight="false" outlineLevel="0" collapsed="false">
      <c r="A14" s="30" t="s">
        <v>171</v>
      </c>
      <c r="B14" s="30" t="s">
        <v>172</v>
      </c>
      <c r="C14" s="30" t="s">
        <v>173</v>
      </c>
      <c r="D14" s="30" t="s">
        <v>174</v>
      </c>
      <c r="E14" s="30" t="s">
        <v>156</v>
      </c>
      <c r="F14" s="31" t="s">
        <v>147</v>
      </c>
    </row>
    <row r="15" customFormat="false" ht="15" hidden="false" customHeight="false" outlineLevel="0" collapsed="false">
      <c r="A15" s="30" t="s">
        <v>171</v>
      </c>
      <c r="B15" s="30" t="s">
        <v>172</v>
      </c>
      <c r="C15" s="30" t="s">
        <v>175</v>
      </c>
      <c r="D15" s="30" t="s">
        <v>176</v>
      </c>
      <c r="E15" s="30" t="s">
        <v>156</v>
      </c>
      <c r="F15" s="30" t="s">
        <v>157</v>
      </c>
    </row>
    <row r="16" customFormat="false" ht="15" hidden="false" customHeight="false" outlineLevel="0" collapsed="false">
      <c r="A16" s="30" t="s">
        <v>171</v>
      </c>
      <c r="B16" s="30" t="s">
        <v>177</v>
      </c>
      <c r="C16" s="30" t="s">
        <v>37</v>
      </c>
      <c r="D16" s="30" t="s">
        <v>178</v>
      </c>
      <c r="E16" s="30" t="s">
        <v>156</v>
      </c>
      <c r="F16" s="30" t="s">
        <v>157</v>
      </c>
    </row>
    <row r="17" customFormat="false" ht="15" hidden="false" customHeight="false" outlineLevel="0" collapsed="false">
      <c r="A17" s="30" t="s">
        <v>171</v>
      </c>
      <c r="B17" s="30" t="s">
        <v>179</v>
      </c>
      <c r="C17" s="30" t="s">
        <v>62</v>
      </c>
      <c r="D17" s="30" t="s">
        <v>180</v>
      </c>
      <c r="E17" s="30" t="s">
        <v>156</v>
      </c>
      <c r="F17" s="30" t="s">
        <v>157</v>
      </c>
    </row>
    <row r="18" customFormat="false" ht="15" hidden="false" customHeight="false" outlineLevel="0" collapsed="false">
      <c r="A18" s="30" t="s">
        <v>171</v>
      </c>
      <c r="B18" s="30" t="s">
        <v>181</v>
      </c>
      <c r="C18" s="30" t="s">
        <v>182</v>
      </c>
      <c r="D18" s="30" t="s">
        <v>183</v>
      </c>
      <c r="E18" s="30" t="s">
        <v>156</v>
      </c>
      <c r="F18" s="30" t="s">
        <v>157</v>
      </c>
    </row>
    <row r="19" customFormat="false" ht="15" hidden="false" customHeight="false" outlineLevel="0" collapsed="false">
      <c r="A19" s="30" t="s">
        <v>171</v>
      </c>
      <c r="B19" s="30" t="s">
        <v>184</v>
      </c>
      <c r="C19" s="30" t="s">
        <v>185</v>
      </c>
      <c r="D19" s="30" t="s">
        <v>186</v>
      </c>
      <c r="E19" s="30" t="s">
        <v>156</v>
      </c>
      <c r="F19" s="30" t="s">
        <v>157</v>
      </c>
    </row>
    <row r="20" customFormat="false" ht="15" hidden="false" customHeight="false" outlineLevel="0" collapsed="false">
      <c r="A20" s="30" t="s">
        <v>171</v>
      </c>
      <c r="B20" s="30" t="s">
        <v>184</v>
      </c>
      <c r="C20" s="30" t="s">
        <v>187</v>
      </c>
      <c r="D20" s="30" t="s">
        <v>188</v>
      </c>
      <c r="E20" s="30" t="s">
        <v>156</v>
      </c>
      <c r="F20" s="30" t="s">
        <v>157</v>
      </c>
    </row>
    <row r="21" customFormat="false" ht="15" hidden="false" customHeight="false" outlineLevel="0" collapsed="false">
      <c r="A21" s="32" t="s">
        <v>189</v>
      </c>
      <c r="B21" s="32" t="s">
        <v>190</v>
      </c>
      <c r="C21" s="32" t="s">
        <v>191</v>
      </c>
      <c r="D21" s="32" t="s">
        <v>192</v>
      </c>
      <c r="E21" s="32" t="s">
        <v>156</v>
      </c>
      <c r="F21" s="32" t="s">
        <v>157</v>
      </c>
    </row>
    <row r="22" customFormat="false" ht="15" hidden="false" customHeight="false" outlineLevel="0" collapsed="false">
      <c r="A22" s="32" t="s">
        <v>189</v>
      </c>
      <c r="B22" s="32" t="s">
        <v>193</v>
      </c>
      <c r="C22" s="32" t="s">
        <v>194</v>
      </c>
      <c r="D22" s="32" t="s">
        <v>195</v>
      </c>
      <c r="E22" s="32" t="s">
        <v>167</v>
      </c>
      <c r="F22" s="32" t="s">
        <v>157</v>
      </c>
    </row>
    <row r="23" customFormat="false" ht="15" hidden="false" customHeight="false" outlineLevel="0" collapsed="false">
      <c r="A23" s="32" t="s">
        <v>189</v>
      </c>
      <c r="B23" s="32" t="s">
        <v>193</v>
      </c>
      <c r="C23" s="32" t="s">
        <v>196</v>
      </c>
      <c r="D23" s="32" t="s">
        <v>197</v>
      </c>
      <c r="E23" s="32" t="s">
        <v>196</v>
      </c>
      <c r="F23" s="32" t="s">
        <v>157</v>
      </c>
    </row>
    <row r="24" customFormat="false" ht="15" hidden="false" customHeight="false" outlineLevel="0" collapsed="false">
      <c r="A24" s="32" t="s">
        <v>189</v>
      </c>
      <c r="B24" s="32" t="s">
        <v>198</v>
      </c>
      <c r="C24" s="32" t="s">
        <v>199</v>
      </c>
      <c r="D24" s="32" t="s">
        <v>200</v>
      </c>
      <c r="E24" s="32" t="s">
        <v>156</v>
      </c>
      <c r="F24" s="32" t="s">
        <v>157</v>
      </c>
    </row>
    <row r="25" customFormat="false" ht="15" hidden="false" customHeight="false" outlineLevel="0" collapsed="false">
      <c r="A25" s="32" t="s">
        <v>189</v>
      </c>
      <c r="B25" s="32" t="s">
        <v>198</v>
      </c>
      <c r="C25" s="32" t="s">
        <v>201</v>
      </c>
      <c r="D25" s="32" t="s">
        <v>202</v>
      </c>
      <c r="E25" s="32" t="s">
        <v>203</v>
      </c>
      <c r="F25" s="33" t="s">
        <v>147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9.7" hidden="false" customHeight="false" outlineLevel="0" collapsed="false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A4" s="19" t="s">
        <v>206</v>
      </c>
      <c r="B4" s="19"/>
      <c r="C4" s="19"/>
    </row>
    <row r="5" customFormat="false" ht="15" hidden="false" customHeight="false" outlineLevel="0" collapsed="false">
      <c r="A5" s="20" t="s">
        <v>207</v>
      </c>
      <c r="B5" s="21" t="n">
        <v>20</v>
      </c>
      <c r="C5" s="22" t="s">
        <v>208</v>
      </c>
    </row>
    <row r="6" customFormat="false" ht="15" hidden="false" customHeight="false" outlineLevel="0" collapsed="false">
      <c r="A6" s="20" t="s">
        <v>209</v>
      </c>
      <c r="B6" s="34" t="n">
        <v>0.2</v>
      </c>
      <c r="C6" s="22" t="s">
        <v>210</v>
      </c>
    </row>
    <row r="7" customFormat="false" ht="15" hidden="false" customHeight="false" outlineLevel="0" collapsed="false">
      <c r="A7" s="20" t="s">
        <v>211</v>
      </c>
      <c r="B7" s="34" t="n">
        <v>0.05</v>
      </c>
      <c r="C7" s="22" t="s">
        <v>212</v>
      </c>
    </row>
    <row r="8" customFormat="false" ht="15" hidden="false" customHeight="false" outlineLevel="0" collapsed="false">
      <c r="A8" s="20" t="s">
        <v>213</v>
      </c>
      <c r="B8" s="21" t="n">
        <v>8</v>
      </c>
      <c r="C8" s="22" t="s">
        <v>214</v>
      </c>
    </row>
    <row r="9" customFormat="false" ht="15" hidden="false" customHeight="false" outlineLevel="0" collapsed="false">
      <c r="A9" s="20" t="s">
        <v>215</v>
      </c>
      <c r="B9" s="35" t="n">
        <v>18</v>
      </c>
      <c r="C9" s="22" t="s">
        <v>216</v>
      </c>
    </row>
    <row r="10" customFormat="false" ht="15" hidden="false" customHeight="false" outlineLevel="0" collapsed="false">
      <c r="A10" s="20" t="s">
        <v>217</v>
      </c>
      <c r="B10" s="34" t="n">
        <v>0.4</v>
      </c>
      <c r="C10" s="22" t="s">
        <v>218</v>
      </c>
    </row>
    <row r="11" customFormat="false" ht="15" hidden="false" customHeight="false" outlineLevel="0" collapsed="false">
      <c r="A11" s="20" t="s">
        <v>219</v>
      </c>
      <c r="B11" s="34" t="n">
        <v>0.4</v>
      </c>
      <c r="C11" s="22" t="s">
        <v>220</v>
      </c>
    </row>
    <row r="12" customFormat="false" ht="15" hidden="false" customHeight="false" outlineLevel="0" collapsed="false">
      <c r="A12" s="20" t="s">
        <v>221</v>
      </c>
      <c r="B12" s="34" t="n">
        <v>0.029</v>
      </c>
      <c r="C12" s="22" t="s">
        <v>222</v>
      </c>
    </row>
    <row r="13" customFormat="false" ht="15" hidden="false" customHeight="false" outlineLevel="0" collapsed="false">
      <c r="A13" s="20" t="s">
        <v>223</v>
      </c>
      <c r="B13" s="35" t="n">
        <v>80</v>
      </c>
      <c r="C13" s="22" t="s">
        <v>224</v>
      </c>
    </row>
    <row r="16" customFormat="false" ht="15" hidden="false" customHeight="false" outlineLevel="0" collapsed="false">
      <c r="A16" s="3" t="s">
        <v>225</v>
      </c>
      <c r="B16" s="3" t="s">
        <v>226</v>
      </c>
      <c r="C16" s="3" t="s">
        <v>227</v>
      </c>
      <c r="D16" s="3" t="s">
        <v>228</v>
      </c>
      <c r="E16" s="3" t="s">
        <v>229</v>
      </c>
      <c r="F16" s="3" t="s">
        <v>230</v>
      </c>
      <c r="G16" s="3" t="s">
        <v>231</v>
      </c>
      <c r="H16" s="3" t="s">
        <v>232</v>
      </c>
      <c r="I16" s="3" t="s">
        <v>233</v>
      </c>
      <c r="J16" s="3" t="s">
        <v>234</v>
      </c>
      <c r="K16" s="3" t="s">
        <v>235</v>
      </c>
      <c r="L16" s="3" t="s">
        <v>236</v>
      </c>
      <c r="M16" s="3" t="s">
        <v>237</v>
      </c>
      <c r="N16" s="3" t="s">
        <v>238</v>
      </c>
    </row>
    <row r="17" customFormat="false" ht="15" hidden="false" customHeight="false" outlineLevel="0" collapsed="false">
      <c r="A17" s="20" t="s">
        <v>239</v>
      </c>
      <c r="B17" s="36" t="n">
        <f aca="false">$B$5</f>
        <v>20</v>
      </c>
      <c r="C17" s="36" t="n">
        <f aca="false">B17*(1+$B$6)</f>
        <v>24</v>
      </c>
      <c r="D17" s="36" t="n">
        <f aca="false">C17*(1+$B$6)</f>
        <v>28.8</v>
      </c>
      <c r="E17" s="36" t="n">
        <f aca="false">D17*(1+$B$6)</f>
        <v>34.56</v>
      </c>
      <c r="F17" s="36" t="n">
        <f aca="false">E17*(1+$B$6)</f>
        <v>41.472</v>
      </c>
      <c r="G17" s="36" t="n">
        <f aca="false">F17*(1+$B$6)</f>
        <v>49.7664</v>
      </c>
      <c r="H17" s="36" t="n">
        <f aca="false">G17*(1+$B$6)</f>
        <v>59.71968</v>
      </c>
      <c r="I17" s="36" t="n">
        <f aca="false">H17*(1+$B$6)</f>
        <v>71.663616</v>
      </c>
      <c r="J17" s="36" t="n">
        <f aca="false">I17*(1+$B$6)</f>
        <v>85.9963392</v>
      </c>
      <c r="K17" s="36" t="n">
        <f aca="false">J17*(1+$B$6)</f>
        <v>103.19560704</v>
      </c>
      <c r="L17" s="36" t="n">
        <f aca="false">K17*(1+$B$6)</f>
        <v>123.834728448</v>
      </c>
      <c r="M17" s="36" t="n">
        <f aca="false">L17*(1+$B$6)</f>
        <v>148.6016741376</v>
      </c>
      <c r="N17" s="37" t="n">
        <f aca="false">M17</f>
        <v>148.6016741376</v>
      </c>
    </row>
    <row r="18" customFormat="false" ht="15" hidden="false" customHeight="false" outlineLevel="0" collapsed="false">
      <c r="A18" s="20" t="s">
        <v>240</v>
      </c>
      <c r="B18" s="36" t="n">
        <f aca="false">B17*$B$8</f>
        <v>160</v>
      </c>
      <c r="C18" s="36" t="n">
        <f aca="false">C17*$B$8</f>
        <v>192</v>
      </c>
      <c r="D18" s="36" t="n">
        <f aca="false">D17*$B$8</f>
        <v>230.4</v>
      </c>
      <c r="E18" s="36" t="n">
        <f aca="false">E17*$B$8</f>
        <v>276.48</v>
      </c>
      <c r="F18" s="36" t="n">
        <f aca="false">F17*$B$8</f>
        <v>331.776</v>
      </c>
      <c r="G18" s="36" t="n">
        <f aca="false">G17*$B$8</f>
        <v>398.1312</v>
      </c>
      <c r="H18" s="36" t="n">
        <f aca="false">H17*$B$8</f>
        <v>477.75744</v>
      </c>
      <c r="I18" s="36" t="n">
        <f aca="false">I17*$B$8</f>
        <v>573.308928</v>
      </c>
      <c r="J18" s="36" t="n">
        <f aca="false">J17*$B$8</f>
        <v>687.9707136</v>
      </c>
      <c r="K18" s="36" t="n">
        <f aca="false">K17*$B$8</f>
        <v>825.56485632</v>
      </c>
      <c r="L18" s="36" t="n">
        <f aca="false">L17*$B$8</f>
        <v>990.677827584</v>
      </c>
      <c r="M18" s="36" t="n">
        <f aca="false">M17*$B$8</f>
        <v>1188.8133931008</v>
      </c>
      <c r="N18" s="37" t="n">
        <f aca="false">M18</f>
        <v>1188.8133931008</v>
      </c>
    </row>
    <row r="19" customFormat="false" ht="15" hidden="false" customHeight="false" outlineLevel="0" collapsed="false">
      <c r="A19" s="20" t="s">
        <v>241</v>
      </c>
      <c r="B19" s="38" t="n">
        <f aca="false">B17*$B$9</f>
        <v>360</v>
      </c>
      <c r="C19" s="38" t="n">
        <f aca="false">C17*$B$9</f>
        <v>432</v>
      </c>
      <c r="D19" s="38" t="n">
        <f aca="false">D17*$B$9</f>
        <v>518.4</v>
      </c>
      <c r="E19" s="38" t="n">
        <f aca="false">E17*$B$9</f>
        <v>622.08</v>
      </c>
      <c r="F19" s="38" t="n">
        <f aca="false">F17*$B$9</f>
        <v>746.496</v>
      </c>
      <c r="G19" s="38" t="n">
        <f aca="false">G17*$B$9</f>
        <v>895.7952</v>
      </c>
      <c r="H19" s="38" t="n">
        <f aca="false">H17*$B$9</f>
        <v>1074.95424</v>
      </c>
      <c r="I19" s="38" t="n">
        <f aca="false">I17*$B$9</f>
        <v>1289.945088</v>
      </c>
      <c r="J19" s="38" t="n">
        <f aca="false">J17*$B$9</f>
        <v>1547.9341056</v>
      </c>
      <c r="K19" s="38" t="n">
        <f aca="false">K17*$B$9</f>
        <v>1857.52092672</v>
      </c>
      <c r="L19" s="38" t="n">
        <f aca="false">L17*$B$9</f>
        <v>2229.025112064</v>
      </c>
      <c r="M19" s="38" t="n">
        <f aca="false">M17*$B$9</f>
        <v>2674.8301344768</v>
      </c>
      <c r="N19" s="39" t="n">
        <f aca="false">SUM(B19:M19)</f>
        <v>14248.9808068608</v>
      </c>
    </row>
    <row r="20" customFormat="false" ht="15" hidden="false" customHeight="false" outlineLevel="0" collapsed="false">
      <c r="A20" s="20" t="s">
        <v>242</v>
      </c>
      <c r="B20" s="38" t="n">
        <f aca="false">B19*$B$11</f>
        <v>144</v>
      </c>
      <c r="C20" s="38" t="n">
        <f aca="false">C19*$B$11</f>
        <v>172.8</v>
      </c>
      <c r="D20" s="38" t="n">
        <f aca="false">D19*$B$11</f>
        <v>207.36</v>
      </c>
      <c r="E20" s="38" t="n">
        <f aca="false">E19*$B$11</f>
        <v>248.832</v>
      </c>
      <c r="F20" s="38" t="n">
        <f aca="false">F19*$B$11</f>
        <v>298.5984</v>
      </c>
      <c r="G20" s="38" t="n">
        <f aca="false">G19*$B$11</f>
        <v>358.31808</v>
      </c>
      <c r="H20" s="38" t="n">
        <f aca="false">H19*$B$11</f>
        <v>429.981696</v>
      </c>
      <c r="I20" s="38" t="n">
        <f aca="false">I19*$B$11</f>
        <v>515.9780352</v>
      </c>
      <c r="J20" s="38" t="n">
        <f aca="false">J19*$B$11</f>
        <v>619.17364224</v>
      </c>
      <c r="K20" s="38" t="n">
        <f aca="false">K19*$B$11</f>
        <v>743.008370688</v>
      </c>
      <c r="L20" s="38" t="n">
        <f aca="false">L19*$B$11</f>
        <v>891.6100448256</v>
      </c>
      <c r="M20" s="38" t="n">
        <f aca="false">M19*$B$11</f>
        <v>1069.93205379072</v>
      </c>
      <c r="N20" s="39" t="n">
        <f aca="false">SUM(B20:M20)</f>
        <v>5699.59232274432</v>
      </c>
    </row>
    <row r="21" customFormat="false" ht="15" hidden="false" customHeight="false" outlineLevel="0" collapsed="false">
      <c r="A21" s="20" t="s">
        <v>243</v>
      </c>
      <c r="B21" s="38" t="n">
        <f aca="false">B18*$B$10</f>
        <v>64</v>
      </c>
      <c r="C21" s="38" t="n">
        <f aca="false">C18*$B$10</f>
        <v>76.8</v>
      </c>
      <c r="D21" s="38" t="n">
        <f aca="false">D18*$B$10</f>
        <v>92.16</v>
      </c>
      <c r="E21" s="38" t="n">
        <f aca="false">E18*$B$10</f>
        <v>110.592</v>
      </c>
      <c r="F21" s="38" t="n">
        <f aca="false">F18*$B$10</f>
        <v>132.7104</v>
      </c>
      <c r="G21" s="38" t="n">
        <f aca="false">G18*$B$10</f>
        <v>159.25248</v>
      </c>
      <c r="H21" s="38" t="n">
        <f aca="false">H18*$B$10</f>
        <v>191.102976</v>
      </c>
      <c r="I21" s="38" t="n">
        <f aca="false">I18*$B$10</f>
        <v>229.3235712</v>
      </c>
      <c r="J21" s="38" t="n">
        <f aca="false">J18*$B$10</f>
        <v>275.18828544</v>
      </c>
      <c r="K21" s="38" t="n">
        <f aca="false">K18*$B$10</f>
        <v>330.225942528</v>
      </c>
      <c r="L21" s="38" t="n">
        <f aca="false">L18*$B$10</f>
        <v>396.2711310336</v>
      </c>
      <c r="M21" s="38" t="n">
        <f aca="false">M18*$B$10</f>
        <v>475.52535724032</v>
      </c>
      <c r="N21" s="39" t="n">
        <f aca="false">SUM(B21:M21)</f>
        <v>2533.15214344192</v>
      </c>
    </row>
    <row r="22" customFormat="false" ht="15" hidden="false" customHeight="false" outlineLevel="0" collapsed="false">
      <c r="A22" s="20" t="s">
        <v>244</v>
      </c>
      <c r="B22" s="38" t="n">
        <f aca="false">B19*$B$12</f>
        <v>10.44</v>
      </c>
      <c r="C22" s="38" t="n">
        <f aca="false">C19*$B$12</f>
        <v>12.528</v>
      </c>
      <c r="D22" s="38" t="n">
        <f aca="false">D19*$B$12</f>
        <v>15.0336</v>
      </c>
      <c r="E22" s="38" t="n">
        <f aca="false">E19*$B$12</f>
        <v>18.04032</v>
      </c>
      <c r="F22" s="38" t="n">
        <f aca="false">F19*$B$12</f>
        <v>21.648384</v>
      </c>
      <c r="G22" s="38" t="n">
        <f aca="false">G19*$B$12</f>
        <v>25.9780608</v>
      </c>
      <c r="H22" s="38" t="n">
        <f aca="false">H19*$B$12</f>
        <v>31.17367296</v>
      </c>
      <c r="I22" s="38" t="n">
        <f aca="false">I19*$B$12</f>
        <v>37.408407552</v>
      </c>
      <c r="J22" s="38" t="n">
        <f aca="false">J19*$B$12</f>
        <v>44.8900890624</v>
      </c>
      <c r="K22" s="38" t="n">
        <f aca="false">K19*$B$12</f>
        <v>53.86810687488</v>
      </c>
      <c r="L22" s="38" t="n">
        <f aca="false">L19*$B$12</f>
        <v>64.641728249856</v>
      </c>
      <c r="M22" s="38" t="n">
        <f aca="false">M19*$B$12</f>
        <v>77.5700738998272</v>
      </c>
      <c r="N22" s="39" t="n">
        <f aca="false">SUM(B22:M22)</f>
        <v>413.220443398963</v>
      </c>
    </row>
    <row r="23" customFormat="false" ht="15" hidden="false" customHeight="false" outlineLevel="0" collapsed="false">
      <c r="A23" s="20" t="s">
        <v>245</v>
      </c>
      <c r="B23" s="38" t="n">
        <f aca="false">$B$13</f>
        <v>80</v>
      </c>
      <c r="C23" s="38" t="n">
        <f aca="false">$B$13</f>
        <v>80</v>
      </c>
      <c r="D23" s="38" t="n">
        <f aca="false">$B$13</f>
        <v>80</v>
      </c>
      <c r="E23" s="38" t="n">
        <f aca="false">$B$13</f>
        <v>80</v>
      </c>
      <c r="F23" s="38" t="n">
        <f aca="false">$B$13</f>
        <v>80</v>
      </c>
      <c r="G23" s="38" t="n">
        <f aca="false">$B$13</f>
        <v>80</v>
      </c>
      <c r="H23" s="38" t="n">
        <f aca="false">$B$13</f>
        <v>80</v>
      </c>
      <c r="I23" s="38" t="n">
        <f aca="false">$B$13</f>
        <v>80</v>
      </c>
      <c r="J23" s="38" t="n">
        <f aca="false">$B$13</f>
        <v>80</v>
      </c>
      <c r="K23" s="38" t="n">
        <f aca="false">$B$13</f>
        <v>80</v>
      </c>
      <c r="L23" s="38" t="n">
        <f aca="false">$B$13</f>
        <v>80</v>
      </c>
      <c r="M23" s="38" t="n">
        <f aca="false">$B$13</f>
        <v>80</v>
      </c>
      <c r="N23" s="39" t="n">
        <f aca="false">SUM(B23:M23)</f>
        <v>960</v>
      </c>
    </row>
    <row r="24" customFormat="false" ht="15" hidden="false" customHeight="false" outlineLevel="0" collapsed="false">
      <c r="A24" s="20" t="s">
        <v>246</v>
      </c>
      <c r="B24" s="40" t="n">
        <f aca="false">B19-B20-B21-B22-B23</f>
        <v>61.56</v>
      </c>
      <c r="C24" s="40" t="n">
        <f aca="false">C19-C20-C21-C22-C23</f>
        <v>89.872</v>
      </c>
      <c r="D24" s="40" t="n">
        <f aca="false">D19-D20-D21-D22-D23</f>
        <v>123.8464</v>
      </c>
      <c r="E24" s="40" t="n">
        <f aca="false">E19-E20-E21-E22-E23</f>
        <v>164.61568</v>
      </c>
      <c r="F24" s="40" t="n">
        <f aca="false">F19-F20-F21-F22-F23</f>
        <v>213.538816</v>
      </c>
      <c r="G24" s="40" t="n">
        <f aca="false">G19-G20-G21-G22-G23</f>
        <v>272.2465792</v>
      </c>
      <c r="H24" s="40" t="n">
        <f aca="false">H19-H20-H21-H22-H23</f>
        <v>342.69589504</v>
      </c>
      <c r="I24" s="40" t="n">
        <f aca="false">I19-I20-I21-I22-I23</f>
        <v>427.235074048</v>
      </c>
      <c r="J24" s="40" t="n">
        <f aca="false">J19-J20-J21-J22-J23</f>
        <v>528.6820888576</v>
      </c>
      <c r="K24" s="40" t="n">
        <f aca="false">K19-K20-K21-K22-K23</f>
        <v>650.418506629119</v>
      </c>
      <c r="L24" s="40" t="n">
        <f aca="false">L19-L20-L21-L22-L23</f>
        <v>796.502207954943</v>
      </c>
      <c r="M24" s="40" t="n">
        <f aca="false">M19-M20-M21-M22-M23</f>
        <v>971.802649545932</v>
      </c>
      <c r="N24" s="39" t="n">
        <f aca="false">SUM(B24:M24)</f>
        <v>4643.01589727559</v>
      </c>
    </row>
    <row r="25" customFormat="false" ht="15" hidden="false" customHeight="false" outlineLevel="0" collapsed="false">
      <c r="A25" s="20" t="s">
        <v>12</v>
      </c>
      <c r="B25" s="26" t="n">
        <f aca="false">IFERROR(B24/B19,0)</f>
        <v>0.171</v>
      </c>
      <c r="C25" s="26" t="n">
        <f aca="false">IFERROR(C24/C19,0)</f>
        <v>0.208037037037037</v>
      </c>
      <c r="D25" s="26" t="n">
        <f aca="false">IFERROR(D24/D19,0)</f>
        <v>0.238901234567901</v>
      </c>
      <c r="E25" s="26" t="n">
        <f aca="false">IFERROR(E24/E19,0)</f>
        <v>0.264621399176955</v>
      </c>
      <c r="F25" s="26" t="n">
        <f aca="false">IFERROR(F24/F19,0)</f>
        <v>0.286054869684499</v>
      </c>
      <c r="G25" s="26" t="n">
        <f aca="false">IFERROR(G24/G19,0)</f>
        <v>0.303916095107453</v>
      </c>
      <c r="H25" s="26" t="n">
        <f aca="false">IFERROR(H24/H19,0)</f>
        <v>0.318800449626581</v>
      </c>
      <c r="I25" s="26" t="n">
        <f aca="false">IFERROR(I24/I19,0)</f>
        <v>0.331204078392521</v>
      </c>
      <c r="J25" s="26" t="n">
        <f aca="false">IFERROR(J24/J19,0)</f>
        <v>0.341540435697472</v>
      </c>
      <c r="K25" s="26" t="n">
        <f aca="false">IFERROR(K24/K19,0)</f>
        <v>0.35015406678493</v>
      </c>
      <c r="L25" s="26" t="n">
        <f aca="false">IFERROR(L24/L19,0)</f>
        <v>0.357332092691145</v>
      </c>
      <c r="M25" s="26" t="n">
        <f aca="false">IFERROR(M24/M19,0)</f>
        <v>0.363313780946325</v>
      </c>
      <c r="N25" s="41" t="n">
        <f aca="false">IFERROR(N24/N19,0)</f>
        <v>0.325848982478804</v>
      </c>
    </row>
    <row r="26" customFormat="false" ht="15" hidden="false" customHeight="false" outlineLevel="0" collapsed="false">
      <c r="A26" s="20" t="s">
        <v>247</v>
      </c>
      <c r="B26" s="40" t="n">
        <f aca="false">B24</f>
        <v>61.56</v>
      </c>
      <c r="C26" s="40" t="n">
        <f aca="false">B26+C24</f>
        <v>151.432</v>
      </c>
      <c r="D26" s="40" t="n">
        <f aca="false">C26+D24</f>
        <v>275.2784</v>
      </c>
      <c r="E26" s="40" t="n">
        <f aca="false">D26+E24</f>
        <v>439.89408</v>
      </c>
      <c r="F26" s="40" t="n">
        <f aca="false">E26+F24</f>
        <v>653.432896</v>
      </c>
      <c r="G26" s="40" t="n">
        <f aca="false">F26+G24</f>
        <v>925.6794752</v>
      </c>
      <c r="H26" s="40" t="n">
        <f aca="false">G26+H24</f>
        <v>1268.37537024</v>
      </c>
      <c r="I26" s="40" t="n">
        <f aca="false">H26+I24</f>
        <v>1695.610444288</v>
      </c>
      <c r="J26" s="40" t="n">
        <f aca="false">I26+J24</f>
        <v>2224.2925331456</v>
      </c>
      <c r="K26" s="40" t="n">
        <f aca="false">J26+K24</f>
        <v>2874.71103977472</v>
      </c>
      <c r="L26" s="40" t="n">
        <f aca="false">K26+L24</f>
        <v>3671.21324772966</v>
      </c>
      <c r="M26" s="40" t="n">
        <f aca="false">L26+M24</f>
        <v>4643.01589727559</v>
      </c>
      <c r="N26" s="39" t="n">
        <f aca="false">M26</f>
        <v>4643.01589727559</v>
      </c>
    </row>
    <row r="29" customFormat="false" ht="15" hidden="false" customHeight="false" outlineLevel="0" collapsed="false">
      <c r="A29" s="42" t="s">
        <v>248</v>
      </c>
    </row>
    <row r="30" customFormat="false" ht="15" hidden="false" customHeight="false" outlineLevel="0" collapsed="false">
      <c r="A30" s="42" t="s">
        <v>249</v>
      </c>
    </row>
    <row r="31" customFormat="false" ht="15" hidden="false" customHeight="false" outlineLevel="0" collapsed="false">
      <c r="A31" s="42" t="s">
        <v>250</v>
      </c>
    </row>
    <row r="32" customFormat="false" ht="15" hidden="false" customHeight="false" outlineLevel="0" collapsed="false">
      <c r="A32" s="42" t="s">
        <v>251</v>
      </c>
    </row>
  </sheetData>
  <mergeCells count="3">
    <mergeCell ref="A1:N1"/>
    <mergeCell ref="A2:N2"/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252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253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254</v>
      </c>
      <c r="B4" s="3" t="s">
        <v>255</v>
      </c>
      <c r="C4" s="3" t="s">
        <v>256</v>
      </c>
      <c r="D4" s="3" t="s">
        <v>257</v>
      </c>
      <c r="E4" s="3" t="s">
        <v>258</v>
      </c>
      <c r="F4" s="3" t="s">
        <v>259</v>
      </c>
    </row>
    <row r="5" customFormat="false" ht="15" hidden="false" customHeight="false" outlineLevel="0" collapsed="false">
      <c r="A5" s="22" t="s">
        <v>260</v>
      </c>
      <c r="B5" s="22" t="s">
        <v>261</v>
      </c>
      <c r="C5" s="43" t="n">
        <v>2</v>
      </c>
      <c r="D5" s="43" t="n">
        <v>3</v>
      </c>
      <c r="E5" s="44" t="n">
        <f aca="false">C5*D5</f>
        <v>6</v>
      </c>
      <c r="F5" s="22" t="s">
        <v>262</v>
      </c>
    </row>
    <row r="6" customFormat="false" ht="15" hidden="false" customHeight="false" outlineLevel="0" collapsed="false">
      <c r="A6" s="22" t="s">
        <v>263</v>
      </c>
      <c r="B6" s="22" t="s">
        <v>264</v>
      </c>
      <c r="C6" s="43" t="n">
        <v>3</v>
      </c>
      <c r="D6" s="43" t="n">
        <v>3</v>
      </c>
      <c r="E6" s="44" t="n">
        <f aca="false">C6*D6</f>
        <v>9</v>
      </c>
      <c r="F6" s="22" t="s">
        <v>265</v>
      </c>
    </row>
    <row r="7" customFormat="false" ht="15" hidden="false" customHeight="false" outlineLevel="0" collapsed="false">
      <c r="A7" s="22" t="s">
        <v>266</v>
      </c>
      <c r="B7" s="22" t="s">
        <v>267</v>
      </c>
      <c r="C7" s="43" t="n">
        <v>2</v>
      </c>
      <c r="D7" s="43" t="n">
        <v>2</v>
      </c>
      <c r="E7" s="44" t="n">
        <f aca="false">C7*D7</f>
        <v>4</v>
      </c>
      <c r="F7" s="22" t="s">
        <v>268</v>
      </c>
    </row>
    <row r="8" customFormat="false" ht="15" hidden="false" customHeight="false" outlineLevel="0" collapsed="false">
      <c r="A8" s="22" t="s">
        <v>269</v>
      </c>
      <c r="B8" s="22" t="s">
        <v>270</v>
      </c>
      <c r="C8" s="43" t="n">
        <v>3</v>
      </c>
      <c r="D8" s="43" t="n">
        <v>2</v>
      </c>
      <c r="E8" s="44" t="n">
        <f aca="false">C8*D8</f>
        <v>6</v>
      </c>
      <c r="F8" s="22" t="s">
        <v>271</v>
      </c>
    </row>
    <row r="9" customFormat="false" ht="15" hidden="false" customHeight="false" outlineLevel="0" collapsed="false">
      <c r="A9" s="22" t="s">
        <v>272</v>
      </c>
      <c r="B9" s="22" t="s">
        <v>273</v>
      </c>
      <c r="C9" s="43" t="n">
        <v>3</v>
      </c>
      <c r="D9" s="43" t="n">
        <v>2</v>
      </c>
      <c r="E9" s="44" t="n">
        <f aca="false">C9*D9</f>
        <v>6</v>
      </c>
      <c r="F9" s="22" t="s">
        <v>274</v>
      </c>
    </row>
    <row r="10" customFormat="false" ht="15" hidden="false" customHeight="false" outlineLevel="0" collapsed="false">
      <c r="A10" s="22" t="s">
        <v>275</v>
      </c>
      <c r="B10" s="22" t="s">
        <v>276</v>
      </c>
      <c r="C10" s="43" t="n">
        <v>2</v>
      </c>
      <c r="D10" s="43" t="n">
        <v>2</v>
      </c>
      <c r="E10" s="44" t="n">
        <f aca="false">C10*D10</f>
        <v>4</v>
      </c>
      <c r="F10" s="22" t="s">
        <v>277</v>
      </c>
    </row>
    <row r="11" customFormat="false" ht="15" hidden="false" customHeight="false" outlineLevel="0" collapsed="false">
      <c r="A11" s="22" t="s">
        <v>278</v>
      </c>
      <c r="B11" s="22" t="s">
        <v>279</v>
      </c>
      <c r="C11" s="43" t="n">
        <v>2</v>
      </c>
      <c r="D11" s="43" t="n">
        <v>3</v>
      </c>
      <c r="E11" s="44" t="n">
        <f aca="false">C11*D11</f>
        <v>6</v>
      </c>
      <c r="F11" s="22" t="s">
        <v>280</v>
      </c>
    </row>
    <row r="12" customFormat="false" ht="15" hidden="false" customHeight="false" outlineLevel="0" collapsed="false">
      <c r="A12" s="22" t="s">
        <v>281</v>
      </c>
      <c r="B12" s="22" t="s">
        <v>282</v>
      </c>
      <c r="C12" s="43" t="n">
        <v>3</v>
      </c>
      <c r="D12" s="43" t="n">
        <v>2</v>
      </c>
      <c r="E12" s="44" t="n">
        <f aca="false">C12*D12</f>
        <v>6</v>
      </c>
      <c r="F12" s="22" t="s">
        <v>283</v>
      </c>
    </row>
    <row r="13" customFormat="false" ht="15" hidden="false" customHeight="false" outlineLevel="0" collapsed="false">
      <c r="A13" s="22" t="s">
        <v>284</v>
      </c>
      <c r="B13" s="22" t="s">
        <v>285</v>
      </c>
      <c r="C13" s="43" t="n">
        <v>2</v>
      </c>
      <c r="D13" s="43" t="n">
        <v>3</v>
      </c>
      <c r="E13" s="44" t="n">
        <f aca="false">C13*D13</f>
        <v>6</v>
      </c>
      <c r="F13" s="22" t="s">
        <v>286</v>
      </c>
    </row>
    <row r="14" customFormat="false" ht="15" hidden="false" customHeight="false" outlineLevel="0" collapsed="false">
      <c r="A14" s="22" t="s">
        <v>287</v>
      </c>
      <c r="B14" s="22" t="s">
        <v>288</v>
      </c>
      <c r="C14" s="43" t="n">
        <v>2</v>
      </c>
      <c r="D14" s="43" t="n">
        <v>2</v>
      </c>
      <c r="E14" s="44" t="n">
        <f aca="false">C14*D14</f>
        <v>4</v>
      </c>
      <c r="F14" s="22" t="s">
        <v>289</v>
      </c>
    </row>
  </sheetData>
  <mergeCells count="2">
    <mergeCell ref="A1:F1"/>
    <mergeCell ref="A2:F2"/>
  </mergeCells>
  <conditionalFormatting sqref="E5:E14">
    <cfRule type="colorScale" priority="2">
      <colorScale>
        <cfvo type="num" val="1"/>
        <cfvo type="num" val="4"/>
        <cfvo type="num" val="9"/>
        <color rgb="FFC6EFCE"/>
        <color rgb="FFFFEB9C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45"/>
    <col collapsed="false" customWidth="true" hidden="false" outlineLevel="0" max="4" min="4" style="0" width="9"/>
  </cols>
  <sheetData>
    <row r="1" customFormat="false" ht="19.7" hidden="false" customHeight="false" outlineLevel="0" collapsed="false">
      <c r="A1" s="1" t="s">
        <v>290</v>
      </c>
      <c r="B1" s="1"/>
      <c r="C1" s="1"/>
      <c r="D1" s="1"/>
    </row>
    <row r="2" customFormat="false" ht="15" hidden="false" customHeight="false" outlineLevel="0" collapsed="false">
      <c r="A2" s="2" t="s">
        <v>291</v>
      </c>
      <c r="B2" s="2"/>
      <c r="C2" s="2"/>
      <c r="D2" s="2"/>
    </row>
    <row r="4" customFormat="false" ht="15" hidden="false" customHeight="false" outlineLevel="0" collapsed="false">
      <c r="A4" s="3" t="s">
        <v>254</v>
      </c>
      <c r="B4" s="3" t="s">
        <v>292</v>
      </c>
      <c r="C4" s="3" t="s">
        <v>293</v>
      </c>
      <c r="D4" s="3" t="s">
        <v>294</v>
      </c>
    </row>
    <row r="5" customFormat="false" ht="15" hidden="false" customHeight="false" outlineLevel="0" collapsed="false">
      <c r="A5" s="45" t="n">
        <v>1</v>
      </c>
      <c r="B5" s="46" t="s">
        <v>295</v>
      </c>
      <c r="C5" s="46" t="s">
        <v>296</v>
      </c>
      <c r="D5" s="45" t="s">
        <v>297</v>
      </c>
    </row>
    <row r="6" customFormat="false" ht="15" hidden="false" customHeight="false" outlineLevel="0" collapsed="false">
      <c r="A6" s="45" t="n">
        <v>2</v>
      </c>
      <c r="B6" s="46" t="s">
        <v>298</v>
      </c>
      <c r="C6" s="46" t="s">
        <v>299</v>
      </c>
      <c r="D6" s="45" t="s">
        <v>300</v>
      </c>
    </row>
    <row r="7" customFormat="false" ht="15" hidden="false" customHeight="false" outlineLevel="0" collapsed="false">
      <c r="A7" s="45" t="n">
        <v>3</v>
      </c>
      <c r="B7" s="46" t="s">
        <v>301</v>
      </c>
      <c r="C7" s="46" t="s">
        <v>302</v>
      </c>
      <c r="D7" s="45" t="s">
        <v>303</v>
      </c>
    </row>
    <row r="8" customFormat="false" ht="15" hidden="false" customHeight="false" outlineLevel="0" collapsed="false">
      <c r="A8" s="45" t="n">
        <v>4</v>
      </c>
      <c r="B8" s="46" t="s">
        <v>304</v>
      </c>
      <c r="C8" s="46" t="s">
        <v>305</v>
      </c>
      <c r="D8" s="45" t="s">
        <v>300</v>
      </c>
    </row>
    <row r="9" customFormat="false" ht="15" hidden="false" customHeight="false" outlineLevel="0" collapsed="false">
      <c r="A9" s="45" t="n">
        <v>5</v>
      </c>
      <c r="B9" s="46" t="s">
        <v>306</v>
      </c>
      <c r="C9" s="46" t="s">
        <v>307</v>
      </c>
      <c r="D9" s="45" t="s">
        <v>300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2026-05-04T21:31:30Z</dcterms:created>
  <dc:creator>openpyxl</dc:creator>
  <dc:description/>
  <dc:language>en-US</dc:language>
  <cp:lastModifiedBy/>
  <dcterms:modified xsi:type="dcterms:W3CDTF">2026-05-04T21:31:30Z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